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0" sheetId="1" r:id="rId1"/>
  </sheets>
  <definedNames>
    <definedName name="_xlnm._FilterDatabase" localSheetId="0" hidden="1">Sheet0!$A$1:$BK$7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<sst xmlns="http://schemas.openxmlformats.org/spreadsheetml/2006/main" count="303" uniqueCount="148">
  <si>
    <t>承运商编码</t>
  </si>
  <si>
    <t>承运商名称</t>
  </si>
  <si>
    <t>结算主体</t>
  </si>
  <si>
    <t>计费方式</t>
  </si>
  <si>
    <t>运营条线名称</t>
  </si>
  <si>
    <t>业务单号</t>
  </si>
  <si>
    <t>运输任务号</t>
  </si>
  <si>
    <t>任务开始时间</t>
  </si>
  <si>
    <t>任务结束时间</t>
  </si>
  <si>
    <t>对账状态</t>
  </si>
  <si>
    <t>三方单号</t>
  </si>
  <si>
    <t>运单个数</t>
  </si>
  <si>
    <t>始发区域</t>
  </si>
  <si>
    <t>始发省份</t>
  </si>
  <si>
    <t>始发城市</t>
  </si>
  <si>
    <t>始发网点</t>
  </si>
  <si>
    <t>目的区域</t>
  </si>
  <si>
    <t>目的省份</t>
  </si>
  <si>
    <t>目的城市</t>
  </si>
  <si>
    <t>目的网点</t>
  </si>
  <si>
    <t>运输方式</t>
  </si>
  <si>
    <t>车牌号</t>
  </si>
  <si>
    <t>挂车车牌号</t>
  </si>
  <si>
    <t>计费车型</t>
  </si>
  <si>
    <t>预约车型</t>
  </si>
  <si>
    <t>重量（kg）</t>
  </si>
  <si>
    <t>体积（m³）</t>
  </si>
  <si>
    <t>单程/往返</t>
  </si>
  <si>
    <t>去程/返程</t>
  </si>
  <si>
    <t>线路类型</t>
  </si>
  <si>
    <t>装卸标识</t>
  </si>
  <si>
    <t>共建标识</t>
  </si>
  <si>
    <t>计费里程</t>
  </si>
  <si>
    <t>大网运费</t>
  </si>
  <si>
    <t>大网装费</t>
  </si>
  <si>
    <t>大网卸费</t>
  </si>
  <si>
    <t>大网燃油差价</t>
  </si>
  <si>
    <t>大网其他费用</t>
  </si>
  <si>
    <t>总金额</t>
  </si>
  <si>
    <t>B2B运费</t>
  </si>
  <si>
    <t>B2B装货费</t>
  </si>
  <si>
    <t>B2B卸货费</t>
  </si>
  <si>
    <t>B2B提货费</t>
  </si>
  <si>
    <t>B2B送货费</t>
  </si>
  <si>
    <t>B2B上楼费</t>
  </si>
  <si>
    <t>B2B提货点位费</t>
  </si>
  <si>
    <t>B2B送货点位费</t>
  </si>
  <si>
    <t>B2B租赁费</t>
  </si>
  <si>
    <t>B2B其他附加费</t>
  </si>
  <si>
    <t>B2BKPI奖励</t>
  </si>
  <si>
    <t>B2B考核扣款</t>
  </si>
  <si>
    <t>B2B索赔扣款</t>
  </si>
  <si>
    <t>B2B第三方服务费</t>
  </si>
  <si>
    <t>异常标识</t>
  </si>
  <si>
    <t>是否计费</t>
  </si>
  <si>
    <t>附加费</t>
  </si>
  <si>
    <t>三方司机姓名</t>
  </si>
  <si>
    <t>是否申诉</t>
  </si>
  <si>
    <t>业务类型</t>
  </si>
  <si>
    <t>是否包时</t>
  </si>
  <si>
    <t>实际车型</t>
  </si>
  <si>
    <t>合单号</t>
  </si>
  <si>
    <t>包时批次号</t>
  </si>
  <si>
    <t>C200915002779</t>
  </si>
  <si>
    <t>南京泓沅供应链管理有限公司</t>
  </si>
  <si>
    <t>京东物流运输有限公司</t>
  </si>
  <si>
    <t>零担+线路+最低收货费</t>
  </si>
  <si>
    <t>大件</t>
  </si>
  <si>
    <t>TB26013074129718</t>
  </si>
  <si>
    <t>TJ26012892765113</t>
  </si>
  <si>
    <t>2026-01-30 14:03:11</t>
  </si>
  <si>
    <t>2026-01-31 19:21:38</t>
  </si>
  <si>
    <t>待调度确认</t>
  </si>
  <si>
    <t/>
  </si>
  <si>
    <t>华东分公司</t>
  </si>
  <si>
    <t>安徽</t>
  </si>
  <si>
    <t>合肥市</t>
  </si>
  <si>
    <t>商家通用始发网点</t>
  </si>
  <si>
    <t>华中分公司</t>
  </si>
  <si>
    <t>江西</t>
  </si>
  <si>
    <t>南昌市</t>
  </si>
  <si>
    <t>南昌大件运营中心-CHN</t>
  </si>
  <si>
    <t>公路零担</t>
  </si>
  <si>
    <t>皖AE0381</t>
  </si>
  <si>
    <t>300.0</t>
  </si>
  <si>
    <t>3.71</t>
  </si>
  <si>
    <t>单程</t>
  </si>
  <si>
    <t>干线</t>
  </si>
  <si>
    <t>无装无卸</t>
  </si>
  <si>
    <t>否</t>
  </si>
  <si>
    <t>408.672</t>
  </si>
  <si>
    <t>497.4</t>
  </si>
  <si>
    <t>0.0</t>
  </si>
  <si>
    <t>正常计费</t>
  </si>
  <si>
    <t>尹基*</t>
  </si>
  <si>
    <t>未申诉</t>
  </si>
  <si>
    <t>大件大票零担</t>
  </si>
  <si>
    <t>9.6米厢式货车</t>
  </si>
  <si>
    <t>TB26012973999451</t>
  </si>
  <si>
    <t>TJ26012892764677</t>
  </si>
  <si>
    <t>2026-01-29 17:32:26</t>
  </si>
  <si>
    <t>2026-01-31 16:11:54</t>
  </si>
  <si>
    <t>西北分公司</t>
  </si>
  <si>
    <t>陕西</t>
  </si>
  <si>
    <t>西安市</t>
  </si>
  <si>
    <t>咸阳大件运营中心-CHN</t>
  </si>
  <si>
    <t>2550.0</t>
  </si>
  <si>
    <t>31.52</t>
  </si>
  <si>
    <t>956.632</t>
  </si>
  <si>
    <t>3951.03</t>
  </si>
  <si>
    <t>TB26012974000297</t>
  </si>
  <si>
    <t>TJ26012892764681</t>
  </si>
  <si>
    <t>2026-01-29 17:46:15</t>
  </si>
  <si>
    <t>2026-01-31 14:45:39</t>
  </si>
  <si>
    <t>华南分公司</t>
  </si>
  <si>
    <t>海南</t>
  </si>
  <si>
    <t>澄迈县</t>
  </si>
  <si>
    <t>海口大件运营中心-CHN</t>
  </si>
  <si>
    <t>苏EUC265</t>
  </si>
  <si>
    <t>1350.0</t>
  </si>
  <si>
    <t>16.7</t>
  </si>
  <si>
    <t>1805.438</t>
  </si>
  <si>
    <t>3768.02</t>
  </si>
  <si>
    <t>李超*</t>
  </si>
  <si>
    <t>TB26012973990372</t>
  </si>
  <si>
    <t>TJ26012592218248</t>
  </si>
  <si>
    <t>2026-01-29 15:54:08</t>
  </si>
  <si>
    <t>2026-01-31 11:17:18</t>
  </si>
  <si>
    <t>湖北</t>
  </si>
  <si>
    <t>鄂州市</t>
  </si>
  <si>
    <t>鄂州大件运营中心-CHN</t>
  </si>
  <si>
    <t>150.0</t>
  </si>
  <si>
    <t>1.85</t>
  </si>
  <si>
    <t>347.569</t>
  </si>
  <si>
    <t>193.58</t>
  </si>
  <si>
    <t>TB26012973999653</t>
  </si>
  <si>
    <t>TJ26012892765128</t>
  </si>
  <si>
    <t>2026-01-29 17:38:53</t>
  </si>
  <si>
    <t>2026-01-31 11:13:10</t>
  </si>
  <si>
    <t>已通过</t>
  </si>
  <si>
    <t>华北分公司</t>
  </si>
  <si>
    <t>河北</t>
  </si>
  <si>
    <t>廊坊市</t>
  </si>
  <si>
    <t>北京大件运营中心-CHN</t>
  </si>
  <si>
    <t>1125.0</t>
  </si>
  <si>
    <t>13.91</t>
  </si>
  <si>
    <t>1003.674</t>
  </si>
  <si>
    <t>1334.25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</si>
</sst>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2" borderId="0" xfId="0" applyFont="1" applyFill="1">
      <alignment vertical="center"/>
    </xf>
    <xf numFmtId="43" fontId="0" fillId="0" borderId="0" xfId="0" applyNumberFormat="1" applyFont="1">
      <alignment vertical="center"/>
    </xf>
    <xf numFmtId="43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7"/>
  <sheetViews>
    <sheetView tabSelected="1" workbookViewId="0">
      <pane ySplit="1" topLeftCell="A2" activePane="bottomLeft" state="frozen"/>
      <selection/>
      <selection pane="bottomLeft" activeCell="H11" sqref="H11"/>
    </sheetView>
  </sheetViews>
  <sheetFormatPr defaultColWidth="9" defaultRowHeight="14.4" outlineLevelRow="6"/>
  <cols>
    <col min="1" max="1" width="13.8888888888889" customWidth="1"/>
    <col min="4" max="4" width="18.4444444444444" customWidth="1"/>
    <col min="5" max="5" width="13.8888888888889" customWidth="1"/>
    <col min="6" max="6" width="21" customWidth="1"/>
    <col min="9" max="9" width="9" style="1"/>
    <col min="39" max="39" width="14"/>
  </cols>
  <sheetData>
    <row r="1" spans="1:63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2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s="1" t="s">
        <v>71</v>
      </c>
      <c r="J2" t="s">
        <v>72</v>
      </c>
      <c r="K2" t="s">
        <v>73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U2" t="s">
        <v>82</v>
      </c>
      <c r="V2" t="s">
        <v>83</v>
      </c>
      <c r="W2" t="s">
        <v>73</v>
      </c>
      <c r="X2" t="s">
        <v>73</v>
      </c>
      <c r="Y2" t="s">
        <v>73</v>
      </c>
      <c r="Z2" t="s">
        <v>84</v>
      </c>
      <c r="AA2" t="s">
        <v>85</v>
      </c>
      <c r="AB2" t="s">
        <v>86</v>
      </c>
      <c r="AC2" t="s">
        <v>73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92</v>
      </c>
      <c r="AK2" t="s">
        <v>92</v>
      </c>
      <c r="AL2" t="s">
        <v>92</v>
      </c>
      <c r="AM2" s="3">
        <v>497.4</v>
      </c>
      <c r="BB2" t="s">
        <v>73</v>
      </c>
      <c r="BC2" t="s">
        <v>93</v>
      </c>
      <c r="BD2" t="s">
        <v>73</v>
      </c>
      <c r="BE2" t="s">
        <v>94</v>
      </c>
      <c r="BF2" t="s">
        <v>95</v>
      </c>
      <c r="BG2" t="s">
        <v>96</v>
      </c>
      <c r="BH2" t="s">
        <v>89</v>
      </c>
      <c r="BI2" t="s">
        <v>97</v>
      </c>
      <c r="BJ2" t="s">
        <v>73</v>
      </c>
      <c r="BK2" t="s">
        <v>73</v>
      </c>
    </row>
    <row r="3" spans="1:63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98</v>
      </c>
      <c r="G3" t="s">
        <v>99</v>
      </c>
      <c r="H3" t="s">
        <v>100</v>
      </c>
      <c r="I3" s="1" t="s">
        <v>101</v>
      </c>
      <c r="J3" t="s">
        <v>72</v>
      </c>
      <c r="K3" t="s">
        <v>73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102</v>
      </c>
      <c r="R3" t="s">
        <v>103</v>
      </c>
      <c r="S3" t="s">
        <v>104</v>
      </c>
      <c r="T3" t="s">
        <v>105</v>
      </c>
      <c r="U3" t="s">
        <v>82</v>
      </c>
      <c r="V3" t="s">
        <v>83</v>
      </c>
      <c r="W3" t="s">
        <v>73</v>
      </c>
      <c r="X3" t="s">
        <v>73</v>
      </c>
      <c r="Y3" t="s">
        <v>73</v>
      </c>
      <c r="Z3" t="s">
        <v>106</v>
      </c>
      <c r="AA3" t="s">
        <v>107</v>
      </c>
      <c r="AB3" t="s">
        <v>86</v>
      </c>
      <c r="AC3" t="s">
        <v>73</v>
      </c>
      <c r="AD3" t="s">
        <v>87</v>
      </c>
      <c r="AE3" t="s">
        <v>88</v>
      </c>
      <c r="AF3" t="s">
        <v>89</v>
      </c>
      <c r="AG3" t="s">
        <v>108</v>
      </c>
      <c r="AH3" t="s">
        <v>109</v>
      </c>
      <c r="AI3" t="s">
        <v>92</v>
      </c>
      <c r="AJ3" t="s">
        <v>92</v>
      </c>
      <c r="AK3" t="s">
        <v>92</v>
      </c>
      <c r="AL3" t="s">
        <v>92</v>
      </c>
      <c r="AM3" s="3">
        <v>3951.03</v>
      </c>
      <c r="BB3" t="s">
        <v>73</v>
      </c>
      <c r="BC3" t="s">
        <v>93</v>
      </c>
      <c r="BD3" t="s">
        <v>73</v>
      </c>
      <c r="BE3" t="s">
        <v>94</v>
      </c>
      <c r="BF3" t="s">
        <v>95</v>
      </c>
      <c r="BG3" t="s">
        <v>96</v>
      </c>
      <c r="BH3" t="s">
        <v>89</v>
      </c>
      <c r="BI3" t="s">
        <v>97</v>
      </c>
      <c r="BJ3" t="s">
        <v>73</v>
      </c>
      <c r="BK3" t="s">
        <v>73</v>
      </c>
    </row>
    <row r="4" spans="1:63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110</v>
      </c>
      <c r="G4" t="s">
        <v>111</v>
      </c>
      <c r="H4" t="s">
        <v>112</v>
      </c>
      <c r="I4" s="1" t="s">
        <v>113</v>
      </c>
      <c r="J4" t="s">
        <v>72</v>
      </c>
      <c r="K4" t="s">
        <v>73</v>
      </c>
      <c r="L4" t="s">
        <v>73</v>
      </c>
      <c r="M4" t="s">
        <v>74</v>
      </c>
      <c r="N4" t="s">
        <v>75</v>
      </c>
      <c r="O4" t="s">
        <v>76</v>
      </c>
      <c r="P4" t="s">
        <v>77</v>
      </c>
      <c r="Q4" t="s">
        <v>114</v>
      </c>
      <c r="R4" t="s">
        <v>115</v>
      </c>
      <c r="S4" t="s">
        <v>116</v>
      </c>
      <c r="T4" t="s">
        <v>117</v>
      </c>
      <c r="U4" t="s">
        <v>82</v>
      </c>
      <c r="V4" t="s">
        <v>118</v>
      </c>
      <c r="W4" t="s">
        <v>73</v>
      </c>
      <c r="X4" t="s">
        <v>73</v>
      </c>
      <c r="Y4" t="s">
        <v>73</v>
      </c>
      <c r="Z4" t="s">
        <v>119</v>
      </c>
      <c r="AA4" t="s">
        <v>120</v>
      </c>
      <c r="AB4" t="s">
        <v>86</v>
      </c>
      <c r="AC4" t="s">
        <v>73</v>
      </c>
      <c r="AD4" t="s">
        <v>87</v>
      </c>
      <c r="AE4" t="s">
        <v>88</v>
      </c>
      <c r="AF4" t="s">
        <v>89</v>
      </c>
      <c r="AG4" t="s">
        <v>121</v>
      </c>
      <c r="AH4" t="s">
        <v>122</v>
      </c>
      <c r="AI4" t="s">
        <v>92</v>
      </c>
      <c r="AJ4" t="s">
        <v>92</v>
      </c>
      <c r="AK4" t="s">
        <v>92</v>
      </c>
      <c r="AL4" t="s">
        <v>92</v>
      </c>
      <c r="AM4" s="3">
        <v>3768.02</v>
      </c>
      <c r="BB4" t="s">
        <v>73</v>
      </c>
      <c r="BC4" t="s">
        <v>93</v>
      </c>
      <c r="BD4" t="s">
        <v>73</v>
      </c>
      <c r="BE4" t="s">
        <v>123</v>
      </c>
      <c r="BF4" t="s">
        <v>95</v>
      </c>
      <c r="BG4" t="s">
        <v>96</v>
      </c>
      <c r="BH4" t="s">
        <v>89</v>
      </c>
      <c r="BI4" t="s">
        <v>97</v>
      </c>
      <c r="BJ4" t="s">
        <v>73</v>
      </c>
      <c r="BK4" t="s">
        <v>73</v>
      </c>
    </row>
    <row r="5" spans="1:63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124</v>
      </c>
      <c r="G5" t="s">
        <v>125</v>
      </c>
      <c r="H5" t="s">
        <v>126</v>
      </c>
      <c r="I5" s="1" t="s">
        <v>127</v>
      </c>
      <c r="J5" t="s">
        <v>72</v>
      </c>
      <c r="K5" t="s">
        <v>73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128</v>
      </c>
      <c r="S5" t="s">
        <v>129</v>
      </c>
      <c r="T5" t="s">
        <v>130</v>
      </c>
      <c r="U5" t="s">
        <v>82</v>
      </c>
      <c r="V5" t="s">
        <v>118</v>
      </c>
      <c r="W5" t="s">
        <v>73</v>
      </c>
      <c r="X5" t="s">
        <v>73</v>
      </c>
      <c r="Y5" t="s">
        <v>73</v>
      </c>
      <c r="Z5" t="s">
        <v>131</v>
      </c>
      <c r="AA5" t="s">
        <v>132</v>
      </c>
      <c r="AB5" t="s">
        <v>86</v>
      </c>
      <c r="AC5" t="s">
        <v>73</v>
      </c>
      <c r="AD5" t="s">
        <v>87</v>
      </c>
      <c r="AE5" t="s">
        <v>88</v>
      </c>
      <c r="AF5" t="s">
        <v>89</v>
      </c>
      <c r="AG5" t="s">
        <v>133</v>
      </c>
      <c r="AH5" t="s">
        <v>134</v>
      </c>
      <c r="AI5" t="s">
        <v>92</v>
      </c>
      <c r="AJ5" t="s">
        <v>92</v>
      </c>
      <c r="AK5" t="s">
        <v>92</v>
      </c>
      <c r="AL5" t="s">
        <v>92</v>
      </c>
      <c r="AM5" s="3">
        <v>193.58</v>
      </c>
      <c r="BB5" t="s">
        <v>73</v>
      </c>
      <c r="BC5" t="s">
        <v>93</v>
      </c>
      <c r="BD5" t="s">
        <v>73</v>
      </c>
      <c r="BE5" t="s">
        <v>123</v>
      </c>
      <c r="BF5" t="s">
        <v>95</v>
      </c>
      <c r="BG5" t="s">
        <v>96</v>
      </c>
      <c r="BH5" t="s">
        <v>89</v>
      </c>
      <c r="BI5" t="s">
        <v>97</v>
      </c>
      <c r="BJ5" t="s">
        <v>73</v>
      </c>
      <c r="BK5" t="s">
        <v>73</v>
      </c>
    </row>
    <row r="6" spans="1:63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135</v>
      </c>
      <c r="G6" t="s">
        <v>136</v>
      </c>
      <c r="H6" t="s">
        <v>137</v>
      </c>
      <c r="I6" s="1" t="s">
        <v>138</v>
      </c>
      <c r="J6" t="s">
        <v>139</v>
      </c>
      <c r="K6" t="s">
        <v>73</v>
      </c>
      <c r="L6" t="s">
        <v>73</v>
      </c>
      <c r="M6" t="s">
        <v>74</v>
      </c>
      <c r="N6" t="s">
        <v>75</v>
      </c>
      <c r="O6" t="s">
        <v>76</v>
      </c>
      <c r="P6" t="s">
        <v>77</v>
      </c>
      <c r="Q6" t="s">
        <v>140</v>
      </c>
      <c r="R6" t="s">
        <v>141</v>
      </c>
      <c r="S6" t="s">
        <v>142</v>
      </c>
      <c r="T6" t="s">
        <v>143</v>
      </c>
      <c r="U6" t="s">
        <v>82</v>
      </c>
      <c r="V6" t="s">
        <v>83</v>
      </c>
      <c r="W6" t="s">
        <v>73</v>
      </c>
      <c r="X6" t="s">
        <v>73</v>
      </c>
      <c r="Y6" t="s">
        <v>73</v>
      </c>
      <c r="Z6" t="s">
        <v>144</v>
      </c>
      <c r="AA6" t="s">
        <v>145</v>
      </c>
      <c r="AB6" t="s">
        <v>86</v>
      </c>
      <c r="AC6" t="s">
        <v>73</v>
      </c>
      <c r="AD6" t="s">
        <v>87</v>
      </c>
      <c r="AE6" t="s">
        <v>88</v>
      </c>
      <c r="AF6" t="s">
        <v>89</v>
      </c>
      <c r="AG6" t="s">
        <v>146</v>
      </c>
      <c r="AH6" t="s">
        <v>147</v>
      </c>
      <c r="AI6" t="s">
        <v>92</v>
      </c>
      <c r="AJ6" t="s">
        <v>92</v>
      </c>
      <c r="AK6" t="s">
        <v>92</v>
      </c>
      <c r="AL6" t="s">
        <v>92</v>
      </c>
      <c r="AM6" s="3">
        <v>1334.25</v>
      </c>
      <c r="BB6" t="s">
        <v>73</v>
      </c>
      <c r="BC6" t="s">
        <v>93</v>
      </c>
      <c r="BD6" t="s">
        <v>73</v>
      </c>
      <c r="BE6" t="s">
        <v>94</v>
      </c>
      <c r="BF6" t="s">
        <v>95</v>
      </c>
      <c r="BG6" t="s">
        <v>96</v>
      </c>
      <c r="BH6" t="s">
        <v>89</v>
      </c>
      <c r="BI6" t="s">
        <v>97</v>
      </c>
      <c r="BJ6" t="s">
        <v>73</v>
      </c>
      <c r="BK6" t="s">
        <v>73</v>
      </c>
    </row>
    <row r="7" spans="1:63">
      <c r="AM7" s="4">
        <f>SUM(AM2:AM6)</f>
        <v>9744.28</v>
      </c>
    </row>
  </sheetData>
  <autoFilter xmlns:etc="http://www.wps.cn/officeDocument/2017/etCustomData" ref="A1:BK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monica.shi</cp:lastModifiedBy>
  <dcterms:created xsi:type="dcterms:W3CDTF">2026-02-02T05:14:00Z</dcterms:created>
  <dcterms:modified xsi:type="dcterms:W3CDTF">2026-02-09T09:36:35Z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311B7574D07B49DE8E70B6003B8904C9_12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